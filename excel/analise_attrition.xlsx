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a\Documents\hr-attrition-analysis\excel\"/>
    </mc:Choice>
  </mc:AlternateContent>
  <bookViews>
    <workbookView xWindow="0" yWindow="0" windowWidth="7476" windowHeight="2232" activeTab="2"/>
  </bookViews>
  <sheets>
    <sheet name="Dados" sheetId="1" r:id="rId1"/>
    <sheet name="Tabela Dinamica" sheetId="2" r:id="rId2"/>
    <sheet name="Insights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3" l="1"/>
  <c r="B9" i="3"/>
  <c r="C8" i="3"/>
  <c r="B8" i="3"/>
  <c r="C7" i="3"/>
  <c r="B7" i="3"/>
  <c r="B10" i="3" l="1"/>
  <c r="I5" i="3" s="1"/>
  <c r="D7" i="3"/>
  <c r="C10" i="3"/>
  <c r="H5" i="3" s="1"/>
  <c r="D8" i="3"/>
  <c r="D9" i="3"/>
  <c r="D10" i="3" l="1"/>
  <c r="G5" i="3" l="1"/>
  <c r="E8" i="3"/>
  <c r="E9" i="3"/>
  <c r="E7" i="3"/>
</calcChain>
</file>

<file path=xl/sharedStrings.xml><?xml version="1.0" encoding="utf-8"?>
<sst xmlns="http://schemas.openxmlformats.org/spreadsheetml/2006/main" count="13289" uniqueCount="77">
  <si>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</si>
  <si>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</si>
  <si>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</si>
  <si>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</si>
  <si>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</si>
  <si>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</si>
  <si>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</si>
  <si>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</si>
  <si>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</si>
  <si>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</si>
  <si>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</si>
  <si>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</si>
  <si>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</si>
  <si>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</si>
  <si>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</si>
  <si>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</si>
  <si>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</si>
  <si>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</si>
  <si>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</si>
  <si>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</si>
  <si>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</si>
  <si>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</si>
  <si>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</si>
  <si>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</si>
  <si>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</si>
  <si>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</si>
  <si>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</si>
  <si>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</si>
  <si>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</si>
  <si>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</si>
  <si>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</si>
  <si>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</si>
  <si>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</si>
  <si>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</si>
  <si>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</si>
  <si>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</si>
  <si>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</si>
  <si>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</si>
  <si>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</si>
  <si>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</si>
  <si>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</si>
  <si>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</si>
  <si>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</si>
  <si>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</si>
  <si>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</si>
  <si>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</si>
  <si>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</si>
  <si>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</si>
  <si>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</si>
  <si>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</si>
  <si>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</si>
  <si>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</si>
  <si>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</si>
  <si>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</si>
  <si>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</si>
  <si>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</si>
  <si>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</si>
  <si>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</si>
  <si>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</si>
  <si>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</si>
  <si>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</si>
  <si>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</si>
  <si>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Rótulos de Linha</t>
  </si>
  <si>
    <t>Total Geral</t>
  </si>
  <si>
    <t>Contagem de Attrition</t>
  </si>
  <si>
    <t>Rótulos de Coluna</t>
  </si>
  <si>
    <t>Insights: Attrition por Departamento</t>
  </si>
  <si>
    <t>Sales tem a maior taxa de attrition (20,63%, contra 16,12% da empresa), e a base é grande (446 funcionários). HR vem logo atrás (19,05%), mas com só 63 funcionários, então essa taxa é menos estável.</t>
  </si>
  <si>
    <t>Departamento</t>
  </si>
  <si>
    <t>Saidas</t>
  </si>
  <si>
    <t>Total</t>
  </si>
  <si>
    <t>Taxa</t>
  </si>
  <si>
    <t>Geral</t>
  </si>
  <si>
    <t>Media</t>
  </si>
  <si>
    <t>Taxa de Attrition Geral</t>
  </si>
  <si>
    <t>Total de Funcionarios</t>
  </si>
  <si>
    <t>Total de Saidas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</si>
</sst>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1" fillId="2" borderId="0" xfId="0" applyFont="1" applyFill="1"/>
    <xf numFmtId="0" fontId="2" fillId="0" borderId="0" xfId="0" applyFont="1" applyFill="1"/>
    <xf numFmtId="0" fontId="4" fillId="3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10" fontId="5" fillId="3" borderId="0" xfId="0" applyNumberFormat="1" applyFont="1" applyFill="1" applyAlignment="1">
      <alignment horizontal="center"/>
    </xf>
    <xf numFmtId="10" fontId="0" fillId="0" borderId="0" xfId="0" applyNumberFormat="1"/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Taxa de attrition por departamento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Insights!$D$6</c:f>
              <c:strCache>
                <c:ptCount val="1"/>
                <c:pt idx="0">
                  <c:v>Taxa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2.2217285047767162E-3"/>
                  <c:y val="-6.3240555620566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A35-45D9-BD70-3951D360C7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(Insights!$A$7,Insights!$A$8,Insights!$A$9)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(Insights!$D$7,Insights!$D$8,Insights!$D$9)</c:f>
              <c:numCache>
                <c:formatCode>0.00%</c:formatCode>
                <c:ptCount val="3"/>
                <c:pt idx="0">
                  <c:v>0.20627802690582961</c:v>
                </c:pt>
                <c:pt idx="1">
                  <c:v>0.19047619047619047</c:v>
                </c:pt>
                <c:pt idx="2">
                  <c:v>0.13839750260145681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5-45D9-BD70-3951D360C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6414719"/>
        <c:axId val="532243247"/>
      </c:barChart>
      <c:lineChart>
        <c:grouping val="standard"/>
        <c:varyColors val="0"/>
        <c:ser>
          <c:idx val="1"/>
          <c:order val="1"/>
          <c:tx>
            <c:v>Media da empresa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Insights!$E$7:$E$9</c:f>
              <c:numCache>
                <c:formatCode>0.00%</c:formatCode>
                <c:ptCount val="3"/>
                <c:pt idx="0">
                  <c:v>0.16122448979591836</c:v>
                </c:pt>
                <c:pt idx="1">
                  <c:v>0.16122448979591836</c:v>
                </c:pt>
                <c:pt idx="2">
                  <c:v>0.16122448979591836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35-45D9-BD70-3951D360C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414719"/>
        <c:axId val="532243247"/>
      </c:lineChart>
      <c:catAx>
        <c:axId val="43641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2243247"/>
        <c:crosses val="autoZero"/>
        <c:auto val="1"/>
        <c:lblAlgn val="ctr"/>
        <c:lblOffset val="100"/>
        <c:noMultiLvlLbl val="0"/>
      </c:catAx>
      <c:valAx>
        <c:axId val="53224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641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167480</xdr:rowOff>
    </xdr:from>
    <xdr:to>
      <xdr:col>5</xdr:col>
      <xdr:colOff>20320</xdr:colOff>
      <xdr:row>25</xdr:row>
      <xdr:rowOff>43676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mma" refreshedDate="46307.83327974537" createdVersion="6" refreshedVersion="6" minRefreshableVersion="3" recordCount="1470">
  <cacheSource type="worksheet">
    <worksheetSource name="Tabela1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s v="Yes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s v="No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s v="Yes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s v="Yes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s v="No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s v="No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s v="Yes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s v="No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s v="No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s v="No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s v="No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s v="Yes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s v="No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s v="No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s v="Yes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s v="No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s v="Yes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s v="Yes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s v="No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s v="Yes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s v="No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s v="No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s v="No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s v="No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s v="No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s v="No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s v="Yes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s v="No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s v="No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s v="No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s v="No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s v="Yes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s v="No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s v="No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s v="Yes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s v="No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s v="Yes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s v="No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s v="Yes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s v="No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s v="No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s v="No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s v="No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s v="No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s v="No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s v="No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s v="No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s v="No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s v="Yes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s v="No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s v="Yes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s v="Yes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s v="Yes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s v="Yes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s v="Yes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s v="Yes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s v="No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s v="Yes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s v="No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s v="No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s v="Yes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s v="No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s v="Yes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s v="No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s v="No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s v="Yes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s v="No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s v="No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s v="No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s v="Yes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s v="No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s v="No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s v="No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s v="No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s v="No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s v="No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s v="No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s v="Yes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s v="No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s v="Yes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s v="Yes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s v="No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s v="No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s v="Yes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s v="No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s v="No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s v="No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s v="No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s v="No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s v="No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s v="No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s v="Yes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s v="Yes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s v="Yes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s v="No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s v="No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s v="No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s v="No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s v="No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s v="No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s v="Yes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s v="No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s v="Yes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s v="No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s v="No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s v="No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s v="Yes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s v="Yes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s v="No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s v="No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s v="No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s v="Yes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s v="Yes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s v="No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s v="No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s v="No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s v="No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s v="No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s v="No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s v="Yes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s v="No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s v="No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s v="Yes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s v="No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s v="Yes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s v="No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s v="No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s v="Yes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s v="No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s v="No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s v="No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s v="No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s v="Yes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s v="Yes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s v="No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s v="No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s v="No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s v="No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s v="No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s v="Yes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s v="No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s v="No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s v="Yes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s v="No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s v="No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s v="No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s v="No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s v="No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s v="No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s v="No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s v="No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s v="No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s v="Yes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s v="No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s v="No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s v="No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s v="No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s v="Yes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s v="No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s v="No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s v="No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s v="No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s v="No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s v="Yes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s v="Yes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s v="No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s v="No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s v="No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s v="No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s v="No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s v="Yes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s v="No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s v="No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s v="No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s v="Yes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s v="Yes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s v="No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s v="No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s v="No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s v="No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s v="Yes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s v="No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s v="Yes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s v="No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s v="No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s v="No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s v="No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s v="No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s v="No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s v="No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s v="No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s v="No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s v="Yes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s v="No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s v="No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s v="Yes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s v="No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s v="No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s v="No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s v="No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s v="No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s v="Yes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s v="Yes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s v="Yes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s v="Yes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s v="No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s v="Yes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s v="No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s v="No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s v="No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s v="No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s v="No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s v="No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s v="No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s v="Yes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s v="Yes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s v="No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s v="No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s v="No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s v="No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s v="No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s v="No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s v="Yes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s v="No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s v="No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s v="No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s v="No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s v="No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s v="No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s v="Yes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s v="No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s v="No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s v="No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s v="No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s v="Yes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s v="Yes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s v="No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s v="Yes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s v="No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s v="Yes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s v="No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s v="No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s v="No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s v="No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s v="No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s v="No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s v="No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s v="No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s v="No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s v="No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s v="No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s v="No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s v="No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s v="Yes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s v="No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s v="No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s v="Yes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s v="No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s v="No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s v="No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s v="No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s v="No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s v="No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s v="Yes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s v="No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s v="No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s v="No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s v="No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s v="Yes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s v="No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s v="Yes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s v="Yes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s v="No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s v="No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s v="No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s v="Yes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s v="No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s v="Yes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s v="No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s v="No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s v="Yes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s v="No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s v="No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s v="Yes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s v="Yes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s v="No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s v="Yes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s v="No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s v="Yes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s v="No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s v="Yes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s v="No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s v="No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s v="Yes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s v="Yes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s v="No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s v="No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s v="No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s v="No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s v="No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s v="No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s v="No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s v="No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s v="No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s v="No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s v="No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s v="No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s v="No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s v="Yes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s v="Yes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s v="No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s v="No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s v="Yes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s v="No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s v="Yes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s v="No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s v="Yes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s v="No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s v="Yes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s v="Yes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s v="Yes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s v="No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s v="No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s v="Yes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s v="No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s v="No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s v="No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s v="Yes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s v="No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s v="No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s v="No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s v="Yes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s v="No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s v="No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s v="No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s v="Yes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s v="Yes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s v="No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s v="No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s v="No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s v="No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s v="Yes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s v="Yes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s v="Yes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s v="No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s v="No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s v="Yes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s v="No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s v="No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s v="No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s v="Yes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s v="No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s v="No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s v="Yes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s v="Yes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s v="No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s v="No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s v="Yes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s v="No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s v="No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s v="No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s v="Yes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s v="No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s v="Yes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s v="No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s v="No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s v="No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s v="No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s v="Yes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s v="Yes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s v="No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s v="No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s v="No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s v="No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s v="No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s v="No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s v="No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s v="No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s v="Yes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s v="Yes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s v="Yes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s v="No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s v="No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s v="No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s v="No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s v="Yes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s v="No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s v="No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s v="No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s v="Yes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s v="No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s v="No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s v="No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s v="No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s v="No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s v="No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s v="Yes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s v="Yes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s v="Yes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s v="No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s v="Yes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s v="No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s v="No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s v="No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s v="No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s v="No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s v="Yes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s v="No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s v="No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s v="No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s v="No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s v="No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s v="No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s v="No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s v="Yes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s v="No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s v="Yes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s v="No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s v="No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s v="No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s v="No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s v="No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s v="No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s v="No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s v="No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s v="No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s v="No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s v="No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s v="No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s v="No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s v="No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s v="No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s v="No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s v="Yes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s v="No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s v="Yes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s v="No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s v="No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s v="Yes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s v="No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s v="Yes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s v="No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s v="No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s v="No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s v="No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s v="No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s v="No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s v="No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s v="No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s v="No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s v="Yes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s v="Yes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s v="No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s v="Yes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s v="No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s v="No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s v="No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s v="Yes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s v="No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s v="Yes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s v="No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s v="No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s v="No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s v="Yes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s v="No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s v="No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s v="No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s v="No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s v="Yes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s v="No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s v="No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s v="No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s v="No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s v="Yes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s v="Yes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s v="No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s v="No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s v="No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s v="No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s v="Yes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s v="No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s v="Yes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s v="No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s v="No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s v="No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s v="No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s v="Yes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s v="No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s v="No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s v="Yes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s v="No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s v="Yes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s v="No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s v="No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s v="Yes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s v="No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s v="No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s v="Yes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s v="No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s v="No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s v="Yes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s v="No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s v="No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s v="No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s v="No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s v="Yes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s v="No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s v="No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s v="No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s v="No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s v="No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s v="Yes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s v="No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s v="Yes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s v="Yes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s v="No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s v="No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s v="No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s v="No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s v="No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s v="No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s v="Yes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s v="No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s v="Yes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s v="No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s v="No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s v="No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s v="No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s v="Yes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s v="No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s v="No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s v="No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s v="No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s v="Yes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s v="No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s v="No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s v="No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s v="No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s v="No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s v="No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s v="Yes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s v="No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s v="Yes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s v="No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s v="Yes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s v="No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s v="No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s v="Yes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s v="No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s v="No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s v="No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s v="No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s v="No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s v="Yes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s v="No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s v="No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s v="No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s v="No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s v="No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s v="Yes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s v="No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s v="No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s v="Yes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s v="No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s v="No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s v="No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s v="Yes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s v="No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s v="Yes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s v="No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s v="No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s v="No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s v="No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s v="No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s v="No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s v="Yes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s v="No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s v="Yes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s v="Yes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s v="No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s v="No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s v="No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s v="No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s v="No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s v="No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s v="Yes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s v="No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s v="No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s v="No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s v="Yes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s v="No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s v="No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s v="Yes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s v="No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s v="No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s v="Yes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s v="No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s v="Yes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s v="No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s v="No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s v="No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s v="No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s v="Yes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s v="No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s v="No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s v="No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s v="No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s v="No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s v="No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s v="No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s v="Yes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s v="No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s v="Yes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s v="No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s v="Yes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s v="No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s v="No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s v="No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s v="No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s v="No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s v="No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s v="Yes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s v="No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s v="No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s v="Yes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s v="Yes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s v="No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s v="No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s v="No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s v="No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s v="No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s v="Yes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s v="Yes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s v="No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s v="Yes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s v="Yes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s v="Yes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s v="No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s v="No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s v="No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s v="No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s v="No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s v="No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s v="Yes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s v="Yes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s v="Yes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s v="No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s v="No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s v="No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s v="No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s v="No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s v="Yes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s v="Yes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s v="No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s v="No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s v="Yes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s v="Yes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s v="No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s v="Yes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s v="No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s v="Yes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s v="No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s v="No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s v="No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s v="Yes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s v="Yes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s v="Yes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s v="Yes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s v="No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s v="Yes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s v="No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s v="No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s v="No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s v="Yes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s v="Yes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s v="No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s v="Yes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s v="No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s v="No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s v="No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s v="No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s v="No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s v="No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s v="Yes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s v="No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s v="No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s v="Yes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s v="No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s v="Yes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s v="No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s v="Yes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s v="Yes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s v="No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s v="Yes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s v="No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s v="No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s v="No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s v="No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s v="No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s v="No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s v="No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s v="No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s v="No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s v="Yes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s v="No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s v="No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s v="Yes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s v="Yes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s v="No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s v="Yes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s v="No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s v="Yes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s v="No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s v="No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s v="No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s v="Yes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s v="No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s v="No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s v="Yes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s v="Yes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s v="Yes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s v="Yes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s v="No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s v="No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s v="No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s v="Yes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s v="No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s v="No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s v="No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s v="Yes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s v="Yes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s v="Yes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s v="No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s v="No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s v="No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s v="No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s v="No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s v="No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s v="No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s v="No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s v="No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s v="No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s v="No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s v="Yes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s v="No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s v="Yes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s v="No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s v="Yes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s v="No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s v="No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s v="Yes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s v="No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s v="No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s v="Yes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s v="No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s v="No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s v="No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s v="No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s v="Yes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s v="No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s v="No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s v="No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s v="Yes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s v="Yes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s v="No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s v="No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s v="Yes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s v="No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s v="No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s v="No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s v="No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s v="No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s v="No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s v="No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s v="No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s v="No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s v="Yes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s v="No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s v="Yes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s v="Yes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s v="No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s v="No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s v="No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s v="No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s v="No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s v="No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s v="No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s v="No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s v="No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s v="No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s v="No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s v="Yes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s v="No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s v="No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s v="No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s v="Yes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s v="Yes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s v="No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s v="Yes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s v="No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s v="No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s v="Yes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s v="No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s v="No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s v="No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s v="No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s v="No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s v="Yes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s v="No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s v="No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s v="No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s v="No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s v="No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s v="No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s v="No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s v="Yes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s v="No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s v="No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s v="No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s v="No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s v="No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s v="No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s v="No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s v="No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s v="No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s v="Yes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s v="No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s v="Yes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s v="No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s v="Yes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s v="Yes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s v="No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s v="No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s v="No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s v="No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s v="No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s v="No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s v="No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s v="Yes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s v="No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s v="No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s v="No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s v="Yes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s v="No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s v="No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s v="Yes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s v="No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s v="No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s v="No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s v="No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s v="No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s v="No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s v="No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s v="No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s v="Yes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s v="No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s v="No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s v="Yes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s v="No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s v="Yes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s v="Yes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s v="No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s v="No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s v="No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s v="No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s v="No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s v="No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s v="No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s v="No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s v="No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s v="Yes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s v="No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s v="No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s v="No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s v="No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s v="No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s v="No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s v="No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s v="No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s v="Yes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s v="No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s v="Yes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s v="Yes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s v="No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s v="No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s v="No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s v="Yes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s v="Yes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s v="Yes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s v="Yes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s v="No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s v="No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s v="Yes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s v="No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s v="No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s v="Yes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s v="No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s v="No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s v="No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s v="No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s v="No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s v="No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s v="No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s v="Yes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s v="No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s v="No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s v="No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s v="No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s v="Yes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s v="Yes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s v="No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s v="Yes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s v="Yes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s v="Yes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s v="Yes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s v="No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s v="No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s v="Yes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s v="Yes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s v="No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s v="No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s v="Yes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s v="No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s v="No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s v="Yes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s v="Yes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s v="No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s v="Yes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s v="No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s v="Yes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s v="No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s v="Yes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s v="Yes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s v="No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s v="No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s v="No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s v="No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s v="Yes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s v="No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s v="No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s v="No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s v="No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s v="No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s v="No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s v="No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s v="Yes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s v="Yes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s v="Yes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s v="Yes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s v="No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s v="Yes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s v="No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s v="Yes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s v="No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s v="Yes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s v="No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s v="No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s v="No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s v="No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s v="No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s v="No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s v="Yes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s v="Yes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s v="No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s v="No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s v="No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s v="Yes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s v="No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s v="No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s v="No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s v="No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s v="No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s v="No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s v="No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s v="No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s v="Yes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s v="Yes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s v="No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s v="No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s v="No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s v="No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s v="Yes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s v="No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s v="No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s v="No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s v="Yes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s v="Yes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s v="No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s v="Yes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s v="Yes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s v="No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s v="Yes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s v="No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s v="No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s v="Yes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s v="Yes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s v="Yes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s v="Yes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s v="No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s v="No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s v="No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s v="No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s v="No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s v="No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s v="No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s v="No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s v="No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s v="Yes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s v="No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s v="Yes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s v="No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s v="Yes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s v="No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s v="No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s v="No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s v="No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s v="No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s v="No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s v="No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s v="No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s v="No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s v="No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s v="No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s v="No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s v="No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s v="Yes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s v="No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s v="No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s v="Yes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s v="No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s v="No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s v="No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s v="Yes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s v="No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s v="Yes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s v="No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s v="Yes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s v="Yes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s v="No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s v="No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s v="No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s v="No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s v="No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s v="No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s v="No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s v="No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s v="No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s v="No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s v="No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s v="No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s v="No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s v="No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s v="No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s v="No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s v="No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s v="No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s v="No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s v="No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s v="Yes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s v="No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s v="Yes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s v="No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s v="Yes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s v="No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s v="No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s v="Yes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s v="No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s v="Yes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s v="No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s v="No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s v="No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s v="No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s v="No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s v="No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s v="Yes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s v="No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s v="No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s v="No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s v="No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s v="No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s v="No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s v="No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s v="No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s v="No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s v="Yes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s v="No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s v="Yes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s v="Yes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s v="No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s v="No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s v="No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s v="No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s v="No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s v="Yes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s v="No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s v="Yes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s v="Yes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s v="No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s v="Yes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s v="No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s v="No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s v="No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s v="Yes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s v="No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s v="No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s v="No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s v="No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s v="No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s v="No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s v="No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s v="Yes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s v="No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s v="No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s v="No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s v="No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s v="No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s v="No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s v="No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s v="No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s v="No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s v="No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s v="No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s v="Yes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s v="Yes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s v="No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s v="No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s v="Yes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s v="No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s v="Yes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s v="No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s v="No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s v="No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s v="No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s v="No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s v="No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s v="No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s v="Yes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s v="Yes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s v="Yes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s v="No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s v="Yes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s v="No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s v="Yes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s v="No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s v="No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s v="Yes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s v="No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s v="No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s v="No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s v="No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s v="No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s v="No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s v="No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s v="Yes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s v="No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s v="No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s v="No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s v="No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s v="No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s v="No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s v="No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s v="Yes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s v="No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s v="No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s v="Yes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s v="Yes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s v="No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s v="Yes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s v="Yes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s v="No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s v="No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s v="Yes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s v="No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s v="No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s v="No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s v="No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s v="No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s v="No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s v="No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s v="No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s v="No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s v="Yes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s v="No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s v="No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s v="No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s v="No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s v="Yes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s v="No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s v="Yes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s v="No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s v="No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s v="No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s v="Yes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s v="No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s v="No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s v="No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s v="Yes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s v="No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s v="Yes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s v="No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s v="Yes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s v="Yes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s v="No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s v="No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s v="Yes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s v="No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s v="No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s v="No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s v="No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s v="No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s v="No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s v="No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s v="No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s v="Yes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s v="Yes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s v="Yes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s v="Yes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s v="No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s v="No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s v="No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s v="No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s v="No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s v="No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s v="No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s v="No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s v="No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s v="No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s v="No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s v="No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s v="Yes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s v="No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s v="No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s v="No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s v="No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s v="No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s v="Yes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s v="Yes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s v="No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s v="No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s v="No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s v="Yes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s v="No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s v="No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s v="No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s v="No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s v="No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s v="No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s v="No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s v="No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s v="No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s v="Yes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s v="No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s v="Yes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s v="No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s v="No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s v="Yes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s v="No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s v="No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s v="No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s v="No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s v="No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s v="Yes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s v="Yes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s v="No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s v="No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s v="No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s v="No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s v="Yes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s v="Yes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s v="No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s v="No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s v="No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s v="No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s v="Yes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s v="No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s v="No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s v="No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s v="Yes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s v="Yes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s v="Yes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s v="No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s v="Yes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s v="No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s v="No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s v="No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s v="No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s v="No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s v="No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s v="No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s v="No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s v="No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s v="No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s v="No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s v="No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s v="No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s v="Yes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s v="No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s v="Yes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s v="No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s v="No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s v="No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s v="No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s v="No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s v="Yes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s v="No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s v="No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s v="No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s v="No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s v="Yes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s v="No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s v="Yes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s v="No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s v="No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s v="Yes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s v="No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s v="Yes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s v="No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s v="Yes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s v="No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s v="No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s v="No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s v="No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s v="No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s v="No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s v="No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s v="No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s v="Yes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s v="No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s v="No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s v="No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s v="No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s v="No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s v="Yes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s v="No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s v="No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s v="No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s v="No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s v="No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s v="No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s v="Yes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s v="Yes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s v="No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s v="Yes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s v="No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s v="Yes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s v="Yes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s v="No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s v="No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s v="No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s v="Yes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s v="No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s v="No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s v="No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s v="Yes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s v="No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s v="No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s v="No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s v="No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s v="Yes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s v="Yes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s v="No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s v="No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s v="No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s v="No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s v="Yes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s v="No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s v="No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s v="No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s v="Yes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s v="Yes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s v="No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s v="No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s v="No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s v="Yes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s v="Yes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s v="Yes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s v="No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s v="No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s v="Yes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s v="No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s v="No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s v="No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s v="Yes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s v="No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s v="No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s v="No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s v="No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s v="No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s v="No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s v="No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s v="No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s v="No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s v="Yes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s v="No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s v="No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s v="Yes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s v="Yes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s v="No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s v="No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s v="No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s v="Yes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s v="Yes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s v="Yes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s v="No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s v="No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s v="No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s v="Yes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s v="No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s v="No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s v="No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s v="No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s v="No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s v="No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s v="Yes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s v="No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s v="No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s v="No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s v="No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s v="No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s v="Yes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s v="No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s v="No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s v="Yes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s v="No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s v="No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s v="Yes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s v="No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s v="No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s v="No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s v="No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s v="No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s v="No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s v="Yes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s v="Yes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s v="No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s v="Yes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s v="Yes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s v="No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s v="No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s v="No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s v="No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s v="No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s v="Yes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s v="No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s v="No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s v="No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s v="No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s v="No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s v="No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s v="No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s v="Yes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s v="No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s v="No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s v="No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s v="No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s v="No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s v="Yes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s v="No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s v="No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s v="Yes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s v="No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s v="Yes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s v="No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s v="No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s v="No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s v="No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s v="No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s v="Yes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s v="No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s v="No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E7" firstHeaderRow="1" firstDataRow="2" firstDataCol="1"/>
  <pivotFields count="35"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ntagem de Attri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1:AI1471" totalsRowShown="0">
  <autoFilter ref="A1:AI1471"/>
  <tableColumns count="35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Count"/>
    <tableColumn id="10" name="EmployeeNumber"/>
    <tableColumn id="11" name="EnvironmentSatisfaction"/>
    <tableColumn id="12" name="Gender"/>
    <tableColumn id="13" name="HourlyRate"/>
    <tableColumn id="14" name="JobInvolvement"/>
    <tableColumn id="15" name="JobLevel"/>
    <tableColumn id="16" name="JobRole"/>
    <tableColumn id="17" name="JobSatisfaction"/>
    <tableColumn id="18" name="MaritalStatus"/>
    <tableColumn id="19" name="MonthlyIncome"/>
    <tableColumn id="20" name="MonthlyRate"/>
    <tableColumn id="21" name="NumCompaniesWorked"/>
    <tableColumn id="22" name="Over18"/>
    <tableColumn id="23" name="OverTime"/>
    <tableColumn id="24" name="PercentSalaryHike"/>
    <tableColumn id="25" name="PerformanceRating"/>
    <tableColumn id="26" name="RelationshipSatisfaction"/>
    <tableColumn id="27" name="StandardHours"/>
    <tableColumn id="28" name="StockOptionLevel"/>
    <tableColumn id="29" name="TotalWorkingYears"/>
    <tableColumn id="30" name="TrainingTimesLastYear"/>
    <tableColumn id="31" name="WorkLifeBalance"/>
    <tableColumn id="32" name="YearsAtCompany"/>
    <tableColumn id="33" name="YearsInCurrentRole"/>
    <tableColumn id="34" name="YearsSinceLastPromotion"/>
    <tableColumn id="35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workbookViewId="0">
      <selection activeCell="C4" sqref="C4"/>
    </sheetView>
  </sheetViews>
  <sheetFormatPr defaultRowHeight="14.4" x14ac:dyDescent="0.3"/>
  <cols>
    <col min="1" max="1" width="6.109375" customWidth="1"/>
    <col min="2" max="2" width="9.88671875" customWidth="1"/>
    <col min="3" max="3" width="15.6640625" bestFit="1" customWidth="1"/>
    <col min="4" max="4" width="10.77734375" customWidth="1"/>
    <col min="5" max="5" width="21.88671875" bestFit="1" customWidth="1"/>
    <col min="6" max="6" width="19.33203125" customWidth="1"/>
    <col min="7" max="7" width="11.33203125" customWidth="1"/>
    <col min="8" max="8" width="15.6640625" bestFit="1" customWidth="1"/>
    <col min="9" max="9" width="16.33203125" customWidth="1"/>
    <col min="10" max="10" width="18.109375" customWidth="1"/>
    <col min="11" max="11" width="23.5546875" customWidth="1"/>
    <col min="12" max="12" width="9" customWidth="1"/>
    <col min="13" max="13" width="12.21875" customWidth="1"/>
    <col min="14" max="14" width="16.44140625" customWidth="1"/>
    <col min="15" max="15" width="10.109375" customWidth="1"/>
    <col min="16" max="16" width="22.88671875" bestFit="1" customWidth="1"/>
    <col min="17" max="17" width="15.5546875" customWidth="1"/>
    <col min="18" max="18" width="14.109375" customWidth="1"/>
    <col min="19" max="19" width="16.44140625" customWidth="1"/>
    <col min="20" max="20" width="13.88671875" customWidth="1"/>
    <col min="21" max="21" width="23" customWidth="1"/>
    <col min="22" max="22" width="8.88671875" customWidth="1"/>
    <col min="23" max="23" width="11" customWidth="1"/>
    <col min="24" max="24" width="18.109375" customWidth="1"/>
    <col min="25" max="25" width="19.109375" customWidth="1"/>
    <col min="26" max="26" width="23" customWidth="1"/>
    <col min="27" max="27" width="15.44140625" customWidth="1"/>
    <col min="28" max="28" width="17.6640625" customWidth="1"/>
    <col min="29" max="29" width="18.6640625" customWidth="1"/>
    <col min="30" max="30" width="21.5546875" customWidth="1"/>
    <col min="31" max="31" width="17" customWidth="1"/>
    <col min="32" max="32" width="17.33203125" customWidth="1"/>
    <col min="33" max="33" width="19" customWidth="1"/>
    <col min="34" max="34" width="24.109375" customWidth="1"/>
    <col min="35" max="35" width="22.44140625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"/>
  <sheetViews>
    <sheetView workbookViewId="0">
      <selection activeCell="C5" sqref="C5"/>
    </sheetView>
  </sheetViews>
  <sheetFormatPr defaultRowHeight="14.4" x14ac:dyDescent="0.3"/>
  <cols>
    <col min="1" max="1" width="19.88671875" customWidth="1"/>
    <col min="2" max="2" width="18.5546875" customWidth="1"/>
    <col min="3" max="3" width="22.5546875" bestFit="1" customWidth="1"/>
    <col min="4" max="4" width="5.21875" customWidth="1"/>
    <col min="5" max="5" width="10" bestFit="1" customWidth="1"/>
  </cols>
  <sheetData>
    <row r="3" spans="1:5" x14ac:dyDescent="0.3">
      <c r="A3" s="1" t="s">
        <v>64</v>
      </c>
      <c r="B3" s="1" t="s">
        <v>65</v>
      </c>
    </row>
    <row r="4" spans="1:5" x14ac:dyDescent="0.3">
      <c r="A4" s="1" t="s">
        <v>62</v>
      </c>
      <c r="B4" t="s">
        <v>61</v>
      </c>
      <c r="C4" t="s">
        <v>45</v>
      </c>
      <c r="D4" t="s">
        <v>37</v>
      </c>
      <c r="E4" t="s">
        <v>63</v>
      </c>
    </row>
    <row r="5" spans="1:5" x14ac:dyDescent="0.3">
      <c r="A5" s="2" t="s">
        <v>43</v>
      </c>
      <c r="B5" s="3">
        <v>51</v>
      </c>
      <c r="C5" s="3">
        <v>828</v>
      </c>
      <c r="D5" s="3">
        <v>354</v>
      </c>
      <c r="E5" s="3">
        <v>1233</v>
      </c>
    </row>
    <row r="6" spans="1:5" x14ac:dyDescent="0.3">
      <c r="A6" s="2" t="s">
        <v>35</v>
      </c>
      <c r="B6" s="3">
        <v>12</v>
      </c>
      <c r="C6" s="3">
        <v>133</v>
      </c>
      <c r="D6" s="3">
        <v>92</v>
      </c>
      <c r="E6" s="3">
        <v>237</v>
      </c>
    </row>
    <row r="7" spans="1:5" x14ac:dyDescent="0.3">
      <c r="A7" s="2" t="s">
        <v>63</v>
      </c>
      <c r="B7" s="3">
        <v>63</v>
      </c>
      <c r="C7" s="3">
        <v>961</v>
      </c>
      <c r="D7" s="3">
        <v>446</v>
      </c>
      <c r="E7" s="3">
        <v>1470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="80" zoomScaleNormal="80" workbookViewId="0">
      <selection activeCell="G7" sqref="G7"/>
    </sheetView>
  </sheetViews>
  <sheetFormatPr defaultRowHeight="14.4" x14ac:dyDescent="0.3"/>
  <cols>
    <col min="1" max="1" width="47.5546875" customWidth="1"/>
    <col min="7" max="7" width="20.77734375" bestFit="1" customWidth="1"/>
    <col min="8" max="8" width="19.5546875" bestFit="1" customWidth="1"/>
    <col min="9" max="9" width="13.88671875" bestFit="1" customWidth="1"/>
  </cols>
  <sheetData>
    <row r="1" spans="1:9" ht="21" x14ac:dyDescent="0.4">
      <c r="A1" s="5" t="s">
        <v>66</v>
      </c>
    </row>
    <row r="3" spans="1:9" ht="57.6" x14ac:dyDescent="0.3">
      <c r="A3" s="4" t="s">
        <v>67</v>
      </c>
    </row>
    <row r="4" spans="1:9" x14ac:dyDescent="0.3">
      <c r="A4" s="4"/>
      <c r="G4" s="9" t="s">
        <v>74</v>
      </c>
      <c r="H4" s="9" t="s">
        <v>75</v>
      </c>
      <c r="I4" s="9" t="s">
        <v>76</v>
      </c>
    </row>
    <row r="5" spans="1:9" ht="25.8" x14ac:dyDescent="0.5">
      <c r="A5" s="17"/>
      <c r="G5" s="15">
        <f>D10</f>
        <v>0.16122448979591836</v>
      </c>
      <c r="H5" s="16">
        <f>C10</f>
        <v>1470</v>
      </c>
      <c r="I5" s="16">
        <f>B10</f>
        <v>237</v>
      </c>
    </row>
    <row r="6" spans="1:9" x14ac:dyDescent="0.3">
      <c r="A6" s="6" t="s">
        <v>68</v>
      </c>
      <c r="B6" s="9" t="s">
        <v>69</v>
      </c>
      <c r="C6" s="9" t="s">
        <v>70</v>
      </c>
      <c r="D6" s="9" t="s">
        <v>71</v>
      </c>
      <c r="E6" s="9" t="s">
        <v>73</v>
      </c>
    </row>
    <row r="7" spans="1:9" x14ac:dyDescent="0.3">
      <c r="A7" s="7" t="s">
        <v>37</v>
      </c>
      <c r="B7" s="10">
        <f>GETPIVOTDATA("Attrition",'Tabela Dinamica'!$A$3,"Attrition","Yes","Department","Sales")</f>
        <v>92</v>
      </c>
      <c r="C7" s="10">
        <f>GETPIVOTDATA("Attrition",'Tabela Dinamica'!$A$3,"Department","Sales")</f>
        <v>446</v>
      </c>
      <c r="D7" s="11">
        <f>B7/C7</f>
        <v>0.20627802690582961</v>
      </c>
      <c r="E7" s="14">
        <f>$D$10</f>
        <v>0.16122448979591836</v>
      </c>
    </row>
    <row r="8" spans="1:9" x14ac:dyDescent="0.3">
      <c r="A8" s="7" t="s">
        <v>61</v>
      </c>
      <c r="B8" s="10">
        <f>GETPIVOTDATA("Attrition",'Tabela Dinamica'!$A$3,"Attrition","Yes","Department","Human Resources")</f>
        <v>12</v>
      </c>
      <c r="C8" s="10">
        <f>GETPIVOTDATA("Attrition",'Tabela Dinamica'!$A$3,"Department","Human Resources")</f>
        <v>63</v>
      </c>
      <c r="D8" s="11">
        <f>B8/C8</f>
        <v>0.19047619047619047</v>
      </c>
      <c r="E8" s="14">
        <f>$D$10</f>
        <v>0.16122448979591836</v>
      </c>
    </row>
    <row r="9" spans="1:9" x14ac:dyDescent="0.3">
      <c r="A9" s="7" t="s">
        <v>45</v>
      </c>
      <c r="B9" s="10">
        <f>GETPIVOTDATA("Attrition",'Tabela Dinamica'!$A$3,"Attrition","Yes","Department","Research &amp; Development")</f>
        <v>133</v>
      </c>
      <c r="C9" s="10">
        <f>GETPIVOTDATA("Attrition",'Tabela Dinamica'!$A$3,"Department","Research &amp; Development")</f>
        <v>961</v>
      </c>
      <c r="D9" s="11">
        <f>B9/C9</f>
        <v>0.13839750260145681</v>
      </c>
      <c r="E9" s="14">
        <f>$D$10</f>
        <v>0.16122448979591836</v>
      </c>
    </row>
    <row r="10" spans="1:9" x14ac:dyDescent="0.3">
      <c r="A10" s="8" t="s">
        <v>72</v>
      </c>
      <c r="B10" s="12">
        <f>B7+B8+B9</f>
        <v>237</v>
      </c>
      <c r="C10" s="12">
        <f>C7+C8+C9</f>
        <v>1470</v>
      </c>
      <c r="D10" s="13">
        <f>B10/C10</f>
        <v>0.16122448979591836</v>
      </c>
      <c r="E10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Tabela Dinamica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</dc:creator>
  <cp:lastModifiedBy>Emma</cp:lastModifiedBy>
  <dcterms:created xsi:type="dcterms:W3CDTF">2026-10-12T14:41:34Z</dcterms:created>
  <dcterms:modified xsi:type="dcterms:W3CDTF">2026-10-13T00:41:43Z</dcterms:modified>
</cp:coreProperties>
</file>